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rafusta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<sst xmlns="http://schemas.openxmlformats.org/spreadsheetml/2006/main" count="20" uniqueCount="11">
  <si>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Tupp</t>
  </si>
  <si>
    <t>Grid 1</t>
  </si>
  <si>
    <t>Grid 2</t>
  </si>
  <si>
    <t>Grid 3</t>
  </si>
  <si>
    <t>Grid 4</t>
  </si>
  <si>
    <t>Grid 5</t>
  </si>
  <si>
    <t>Grid 6</t>
  </si>
  <si>
    <t>Grid 7</t>
  </si>
  <si>
    <t>Average</t>
  </si>
  <si>
    <t>Zone</t>
  </si>
  <si>
    <t>Mid-temperate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</si>
</sst>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等线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Mid-temperate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'rafustat-1'!$B$1</c:f>
              <c:strCache>
                <c:ptCount val="1"/>
                <c:pt idx="0">
                  <c:v>Grid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'rafustat-1'!$B$2:$B$11</c:f>
              <c:numCache>
                <c:formatCode>General</c:formatCode>
                <c:ptCount val="10"/>
                <c:pt idx="0">
                  <c:v>25.3</c:v>
                </c:pt>
                <c:pt idx="1">
                  <c:v>25.3</c:v>
                </c:pt>
                <c:pt idx="2">
                  <c:v>40.1</c:v>
                </c:pt>
                <c:pt idx="3">
                  <c:v>60.3</c:v>
                </c:pt>
                <c:pt idx="4">
                  <c:v>60.3</c:v>
                </c:pt>
                <c:pt idx="5">
                  <c:v>67.6</c:v>
                </c:pt>
                <c:pt idx="6">
                  <c:v>100.9</c:v>
                </c:pt>
                <c:pt idx="7">
                  <c:v>114.8</c:v>
                </c:pt>
                <c:pt idx="8">
                  <c:v>115.1</c:v>
                </c:pt>
                <c:pt idx="9">
                  <c:v>123.3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'rafustat-1'!$C$1</c:f>
              <c:strCache>
                <c:ptCount val="1"/>
                <c:pt idx="0">
                  <c:v>Grid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'rafustat-1'!$C$2:$C$11</c:f>
              <c:numCache>
                <c:formatCode>General</c:formatCode>
                <c:ptCount val="10"/>
                <c:pt idx="0">
                  <c:v>18.6</c:v>
                </c:pt>
                <c:pt idx="1">
                  <c:v>33.4</c:v>
                </c:pt>
                <c:pt idx="2">
                  <c:v>41.7</c:v>
                </c:pt>
                <c:pt idx="3">
                  <c:v>55.4</c:v>
                </c:pt>
                <c:pt idx="4">
                  <c:v>65</c:v>
                </c:pt>
                <c:pt idx="5">
                  <c:v>106</c:v>
                </c:pt>
                <c:pt idx="6">
                  <c:v>107.4</c:v>
                </c:pt>
                <c:pt idx="7">
                  <c:v>115.5</c:v>
                </c:pt>
                <c:pt idx="8">
                  <c:v>123.9</c:v>
                </c:pt>
                <c:pt idx="9">
                  <c:v>123.9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'rafustat-1'!$D$1</c:f>
              <c:strCache>
                <c:ptCount val="1"/>
                <c:pt idx="0">
                  <c:v>Grid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'rafustat-1'!$D$2:$D$11</c:f>
              <c:numCache>
                <c:formatCode>General</c:formatCode>
                <c:ptCount val="10"/>
                <c:pt idx="0">
                  <c:v>18.1</c:v>
                </c:pt>
                <c:pt idx="1">
                  <c:v>27.5</c:v>
                </c:pt>
                <c:pt idx="2">
                  <c:v>30.1</c:v>
                </c:pt>
                <c:pt idx="3">
                  <c:v>33.1</c:v>
                </c:pt>
                <c:pt idx="4">
                  <c:v>47.7</c:v>
                </c:pt>
                <c:pt idx="5">
                  <c:v>89.9</c:v>
                </c:pt>
                <c:pt idx="6">
                  <c:v>111.3</c:v>
                </c:pt>
                <c:pt idx="7">
                  <c:v>137.4</c:v>
                </c:pt>
                <c:pt idx="8">
                  <c:v>145.6</c:v>
                </c:pt>
                <c:pt idx="9">
                  <c:v>152.8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'rafustat-1'!$E$1</c:f>
              <c:strCache>
                <c:ptCount val="1"/>
                <c:pt idx="0">
                  <c:v>Grid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'rafustat-1'!$E$2:$E$11</c:f>
              <c:numCache>
                <c:formatCode>General</c:formatCode>
                <c:ptCount val="10"/>
                <c:pt idx="0">
                  <c:v>20.7</c:v>
                </c:pt>
                <c:pt idx="1">
                  <c:v>40.6</c:v>
                </c:pt>
                <c:pt idx="2">
                  <c:v>40.6</c:v>
                </c:pt>
                <c:pt idx="3">
                  <c:v>40.6</c:v>
                </c:pt>
                <c:pt idx="4">
                  <c:v>42.1</c:v>
                </c:pt>
                <c:pt idx="5">
                  <c:v>57.8</c:v>
                </c:pt>
                <c:pt idx="6">
                  <c:v>88.8</c:v>
                </c:pt>
                <c:pt idx="7">
                  <c:v>90.6</c:v>
                </c:pt>
                <c:pt idx="8">
                  <c:v>119.2</c:v>
                </c:pt>
                <c:pt idx="9">
                  <c:v>130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'rafustat-1'!$F$1</c:f>
              <c:strCache>
                <c:ptCount val="1"/>
                <c:pt idx="0">
                  <c:v>Grid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'rafustat-1'!$F$2:$F$11</c:f>
              <c:numCache>
                <c:formatCode>General</c:formatCode>
                <c:ptCount val="10"/>
                <c:pt idx="0">
                  <c:v>12</c:v>
                </c:pt>
                <c:pt idx="1">
                  <c:v>24.6</c:v>
                </c:pt>
                <c:pt idx="2">
                  <c:v>24.6</c:v>
                </c:pt>
                <c:pt idx="3">
                  <c:v>52</c:v>
                </c:pt>
                <c:pt idx="4">
                  <c:v>54.1</c:v>
                </c:pt>
                <c:pt idx="5">
                  <c:v>60.9</c:v>
                </c:pt>
                <c:pt idx="6">
                  <c:v>65.4</c:v>
                </c:pt>
                <c:pt idx="7">
                  <c:v>86.6</c:v>
                </c:pt>
                <c:pt idx="8">
                  <c:v>94.2</c:v>
                </c:pt>
                <c:pt idx="9">
                  <c:v>100.3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'rafustat-1'!$G$1</c:f>
              <c:strCache>
                <c:ptCount val="1"/>
                <c:pt idx="0">
                  <c:v>Grid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'rafustat-1'!$G$2:$G$11</c:f>
              <c:numCache>
                <c:formatCode>General</c:formatCode>
                <c:ptCount val="10"/>
                <c:pt idx="0">
                  <c:v>17.5</c:v>
                </c:pt>
                <c:pt idx="1">
                  <c:v>28</c:v>
                </c:pt>
                <c:pt idx="2">
                  <c:v>37.1</c:v>
                </c:pt>
                <c:pt idx="3">
                  <c:v>53.4</c:v>
                </c:pt>
                <c:pt idx="4">
                  <c:v>71.9</c:v>
                </c:pt>
                <c:pt idx="5">
                  <c:v>71.9</c:v>
                </c:pt>
                <c:pt idx="6">
                  <c:v>71.9</c:v>
                </c:pt>
                <c:pt idx="7">
                  <c:v>117</c:v>
                </c:pt>
                <c:pt idx="8">
                  <c:v>117</c:v>
                </c:pt>
                <c:pt idx="9">
                  <c:v>135.6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'rafustat-1'!$H$1</c:f>
              <c:strCache>
                <c:ptCount val="1"/>
                <c:pt idx="0">
                  <c:v>Grid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'rafustat-1'!$H$2:$H$11</c:f>
              <c:numCache>
                <c:formatCode>General</c:formatCode>
                <c:ptCount val="10"/>
                <c:pt idx="0">
                  <c:v>3.1</c:v>
                </c:pt>
                <c:pt idx="1">
                  <c:v>6.2</c:v>
                </c:pt>
                <c:pt idx="2">
                  <c:v>9.2</c:v>
                </c:pt>
                <c:pt idx="3">
                  <c:v>23.6</c:v>
                </c:pt>
                <c:pt idx="4">
                  <c:v>29.9</c:v>
                </c:pt>
                <c:pt idx="5">
                  <c:v>41.8</c:v>
                </c:pt>
                <c:pt idx="6">
                  <c:v>86.2</c:v>
                </c:pt>
                <c:pt idx="7">
                  <c:v>94.2</c:v>
                </c:pt>
                <c:pt idx="8">
                  <c:v>94.2</c:v>
                </c:pt>
                <c:pt idx="9">
                  <c:v>94.7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12591"/>
        <c:axId val="1662138863"/>
      </c:scatterChart>
      <c:valAx>
        <c:axId val="1271912591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2138863"/>
        <c:crosses val="autoZero"/>
        <c:crossBetween val="midCat"/>
      </c:valAx>
      <c:valAx>
        <c:axId val="1662138863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1912591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ae9e7-f831-4327-9b95-884bea85f62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Mid-temperate</a:t>
            </a:r>
            <a:r>
              <a:rPr lang="en-US" baseline="0"/>
              <a:t> average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'rafustat-1'!$I$1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'rafustat-1'!$I$2:$I$11</c:f>
              <c:numCache>
                <c:formatCode>0.0</c:formatCode>
                <c:ptCount val="10"/>
                <c:pt idx="0">
                  <c:v>16.4714285714286</c:v>
                </c:pt>
                <c:pt idx="1">
                  <c:v>26.5142857142857</c:v>
                </c:pt>
                <c:pt idx="2">
                  <c:v>31.9142857142857</c:v>
                </c:pt>
                <c:pt idx="3">
                  <c:v>45.4857142857143</c:v>
                </c:pt>
                <c:pt idx="4">
                  <c:v>53</c:v>
                </c:pt>
                <c:pt idx="5">
                  <c:v>70.8428571428571</c:v>
                </c:pt>
                <c:pt idx="6">
                  <c:v>90.2714285714286</c:v>
                </c:pt>
                <c:pt idx="7">
                  <c:v>108.014285714286</c:v>
                </c:pt>
                <c:pt idx="8">
                  <c:v>115.6</c:v>
                </c:pt>
                <c:pt idx="9">
                  <c:v>122.942857142857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00527"/>
        <c:axId val="1662185423"/>
      </c:scatterChart>
      <c:valAx>
        <c:axId val="1271900527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2185423"/>
        <c:crosses val="autoZero"/>
        <c:crossBetween val="midCat"/>
      </c:valAx>
      <c:valAx>
        <c:axId val="1662185423"/>
        <c:scaling>
          <c:orientation val="minMax"/>
          <c:max val="160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1900527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7b87c0-20fb-4238-9932-39e3638932f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358775</xdr:colOff>
      <xdr:row>13</xdr:row>
      <xdr:rowOff>38100</xdr:rowOff>
    </xdr:from>
    <xdr:to>
      <xdr:col>8</xdr:col>
      <xdr:colOff>625475</xdr:colOff>
      <xdr:row>28</xdr:row>
      <xdr:rowOff>19050</xdr:rowOff>
    </xdr:to>
    <xdr:graphicFrame>
      <xdr:nvGraphicFramePr>
        <xdr:cNvPr id="3" name="Chart 2"/>
        <xdr:cNvGraphicFramePr/>
      </xdr:nvGraphicFramePr>
      <xdr:xfrm>
        <a:off x="1023620" y="4493260"/>
        <a:ext cx="496189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955675</xdr:colOff>
      <xdr:row>12</xdr:row>
      <xdr:rowOff>95250</xdr:rowOff>
    </xdr:from>
    <xdr:to>
      <xdr:col>16</xdr:col>
      <xdr:colOff>288925</xdr:colOff>
      <xdr:row>27</xdr:row>
      <xdr:rowOff>76200</xdr:rowOff>
    </xdr:to>
    <xdr:graphicFrame>
      <xdr:nvGraphicFramePr>
        <xdr:cNvPr id="4" name="Chart 3"/>
        <xdr:cNvGraphicFramePr/>
      </xdr:nvGraphicFramePr>
      <xdr:xfrm>
        <a:off x="6315710" y="4371340"/>
        <a:ext cx="504698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M3" sqref="M3"/>
    </sheetView>
  </sheetViews>
  <sheetFormatPr defaultColWidth="9" defaultRowHeight="14.1"/>
  <cols>
    <col min="1" max="1" width="8.725" style="1"/>
    <col min="2" max="2" width="9.26666666666667" style="1" customWidth="1"/>
    <col min="3" max="8" width="8.725" style="1"/>
    <col min="9" max="9" width="13.9083333333333" style="1" customWidth="1"/>
    <col min="10" max="16384" width="8.7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.85" spans="1:10">
      <c r="A2" s="1">
        <v>2</v>
      </c>
      <c r="B2" s="1">
        <v>25.3</v>
      </c>
      <c r="C2" s="1">
        <v>18.6</v>
      </c>
      <c r="D2" s="1">
        <v>18.1</v>
      </c>
      <c r="E2" s="1">
        <v>20.7</v>
      </c>
      <c r="F2" s="1">
        <v>12</v>
      </c>
      <c r="G2" s="1">
        <v>17.5</v>
      </c>
      <c r="H2" s="1">
        <v>3.1</v>
      </c>
      <c r="I2" s="2">
        <f>AVERAGE(B2:H2)</f>
        <v>16.4714285714286</v>
      </c>
      <c r="J2" s="3" t="s">
        <v>10</v>
      </c>
    </row>
    <row r="3" ht="30.85" spans="1:10">
      <c r="A3" s="1">
        <v>4</v>
      </c>
      <c r="B3" s="1">
        <v>25.3</v>
      </c>
      <c r="C3" s="1">
        <v>33.4</v>
      </c>
      <c r="D3" s="1">
        <v>27.5</v>
      </c>
      <c r="E3" s="1">
        <v>40.6</v>
      </c>
      <c r="F3" s="1">
        <v>24.6</v>
      </c>
      <c r="G3" s="1">
        <v>28</v>
      </c>
      <c r="H3" s="1">
        <v>6.2</v>
      </c>
      <c r="I3" s="2">
        <f t="shared" ref="I3:I11" si="0">AVERAGE(B3:H3)</f>
        <v>26.5142857142857</v>
      </c>
      <c r="J3" s="3" t="s">
        <v>10</v>
      </c>
    </row>
    <row r="4" ht="30.85" spans="1:10">
      <c r="A4" s="1">
        <v>6</v>
      </c>
      <c r="B4" s="1">
        <v>40.1</v>
      </c>
      <c r="C4" s="1">
        <v>41.7</v>
      </c>
      <c r="D4" s="1">
        <v>30.1</v>
      </c>
      <c r="E4" s="1">
        <v>40.6</v>
      </c>
      <c r="F4" s="1">
        <v>24.6</v>
      </c>
      <c r="G4" s="1">
        <v>37.1</v>
      </c>
      <c r="H4" s="1">
        <v>9.2</v>
      </c>
      <c r="I4" s="2">
        <f t="shared" si="0"/>
        <v>31.9142857142857</v>
      </c>
      <c r="J4" s="3" t="s">
        <v>10</v>
      </c>
    </row>
    <row r="5" ht="30.85" spans="1:10">
      <c r="A5" s="1">
        <v>8</v>
      </c>
      <c r="B5" s="1">
        <v>60.3</v>
      </c>
      <c r="C5" s="1">
        <v>55.4</v>
      </c>
      <c r="D5" s="1">
        <v>33.1</v>
      </c>
      <c r="E5" s="1">
        <v>40.6</v>
      </c>
      <c r="F5" s="1">
        <v>52</v>
      </c>
      <c r="G5" s="1">
        <v>53.4</v>
      </c>
      <c r="H5" s="1">
        <v>23.6</v>
      </c>
      <c r="I5" s="2">
        <f t="shared" si="0"/>
        <v>45.4857142857143</v>
      </c>
      <c r="J5" s="3" t="s">
        <v>10</v>
      </c>
    </row>
    <row r="6" ht="30.85" spans="1:10">
      <c r="A6" s="1">
        <v>10</v>
      </c>
      <c r="B6" s="1">
        <v>60.3</v>
      </c>
      <c r="C6" s="1">
        <v>65</v>
      </c>
      <c r="D6" s="1">
        <v>47.7</v>
      </c>
      <c r="E6" s="1">
        <v>42.1</v>
      </c>
      <c r="F6" s="1">
        <v>54.1</v>
      </c>
      <c r="G6" s="1">
        <v>71.9</v>
      </c>
      <c r="H6" s="1">
        <v>29.9</v>
      </c>
      <c r="I6" s="2">
        <f t="shared" si="0"/>
        <v>53</v>
      </c>
      <c r="J6" s="3" t="s">
        <v>10</v>
      </c>
    </row>
    <row r="7" ht="30.85" spans="1:10">
      <c r="A7" s="1">
        <v>12</v>
      </c>
      <c r="B7" s="1">
        <v>67.6</v>
      </c>
      <c r="C7" s="1">
        <v>106</v>
      </c>
      <c r="D7" s="1">
        <v>89.9</v>
      </c>
      <c r="E7" s="1">
        <v>57.8</v>
      </c>
      <c r="F7" s="1">
        <v>60.9</v>
      </c>
      <c r="G7" s="1">
        <v>71.9</v>
      </c>
      <c r="H7" s="1">
        <v>41.8</v>
      </c>
      <c r="I7" s="2">
        <f t="shared" si="0"/>
        <v>70.8428571428571</v>
      </c>
      <c r="J7" s="3" t="s">
        <v>10</v>
      </c>
    </row>
    <row r="8" ht="30.85" spans="1:10">
      <c r="A8" s="1">
        <v>14</v>
      </c>
      <c r="B8" s="1">
        <v>100.9</v>
      </c>
      <c r="C8" s="1">
        <v>107.4</v>
      </c>
      <c r="D8" s="1">
        <v>111.3</v>
      </c>
      <c r="E8" s="1">
        <v>88.8</v>
      </c>
      <c r="F8" s="1">
        <v>65.4</v>
      </c>
      <c r="G8" s="1">
        <v>71.9</v>
      </c>
      <c r="H8" s="1">
        <v>86.2</v>
      </c>
      <c r="I8" s="2">
        <f t="shared" si="0"/>
        <v>90.2714285714286</v>
      </c>
      <c r="J8" s="3" t="s">
        <v>10</v>
      </c>
    </row>
    <row r="9" ht="30.85" spans="1:10">
      <c r="A9" s="1">
        <v>16</v>
      </c>
      <c r="B9" s="1">
        <v>114.8</v>
      </c>
      <c r="C9" s="1">
        <v>115.5</v>
      </c>
      <c r="D9" s="1">
        <v>137.4</v>
      </c>
      <c r="E9" s="1">
        <v>90.6</v>
      </c>
      <c r="F9" s="1">
        <v>86.6</v>
      </c>
      <c r="G9" s="1">
        <v>117</v>
      </c>
      <c r="H9" s="1">
        <v>94.2</v>
      </c>
      <c r="I9" s="2">
        <f t="shared" si="0"/>
        <v>108.014285714286</v>
      </c>
      <c r="J9" s="3" t="s">
        <v>10</v>
      </c>
    </row>
    <row r="10" ht="30.85" spans="1:10">
      <c r="A10" s="1">
        <v>18</v>
      </c>
      <c r="B10" s="1">
        <v>115.1</v>
      </c>
      <c r="C10" s="1">
        <v>123.9</v>
      </c>
      <c r="D10" s="1">
        <v>145.6</v>
      </c>
      <c r="E10" s="1">
        <v>119.2</v>
      </c>
      <c r="F10" s="1">
        <v>94.2</v>
      </c>
      <c r="G10" s="1">
        <v>117</v>
      </c>
      <c r="H10" s="1">
        <v>94.2</v>
      </c>
      <c r="I10" s="2">
        <f t="shared" si="0"/>
        <v>115.6</v>
      </c>
      <c r="J10" s="3" t="s">
        <v>10</v>
      </c>
    </row>
    <row r="11" ht="30.85" spans="1:10">
      <c r="A11" s="1">
        <v>20</v>
      </c>
      <c r="B11" s="1">
        <v>123.3</v>
      </c>
      <c r="C11" s="1">
        <v>123.9</v>
      </c>
      <c r="D11" s="1">
        <v>152.8</v>
      </c>
      <c r="E11" s="1">
        <v>130</v>
      </c>
      <c r="F11" s="1">
        <v>100.3</v>
      </c>
      <c r="G11" s="1">
        <v>135.6</v>
      </c>
      <c r="H11" s="1">
        <v>94.7</v>
      </c>
      <c r="I11" s="2">
        <f t="shared" si="0"/>
        <v>122.942857142857</v>
      </c>
      <c r="J11" s="3" t="s">
        <v>10</v>
      </c>
    </row>
  </sheetData>
  <pageMargins left="0.7" right="0.7" top="0.75" bottom="0.75" header="0.3" footer="0.3"/>
  <headerFooter/>
  <ignoredErrors>
    <ignoredError sqref="A1:J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rafustat-1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2026-08-18T09:00:00Z</dcterms:created>
  <dcterms:modified xsi:type="dcterms:W3CDTF">2026-08-23T12:19:56Z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713EC12055D144EFAC64293682AE652D_12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