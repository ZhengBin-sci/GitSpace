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python.jinyan\R.jinbin\"/>
    </mc:Choice>
  </mc:AlternateContent>
  <bookViews>
    <workbookView windowWidth="21942" windowHeight="9805"/>
  </bookViews>
  <sheets>
    <sheet name="rafustat-1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<sst xmlns="http://schemas.openxmlformats.org/spreadsheetml/2006/main" count="15" uniqueCount="6">
  <si>
    <t>Tupp</t>
  </si>
  <si>
    <t>Grid 13</t>
  </si>
  <si>
    <t>Grid 14</t>
  </si>
  <si>
    <t>Average</t>
  </si>
  <si>
    <t>Zone</t>
  </si>
  <si>
    <t>North subtropical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</si>
</sst>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2"/>
      <color theme="1"/>
      <name val="Times New Roman"/>
      <charset val="134"/>
    </font>
    <font>
      <sz val="14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3" borderId="5" applyNumberFormat="0" applyAlignment="0" applyProtection="0"/>
    <xf numFmtId="0" fontId="13" fillId="4" borderId="6" applyNumberFormat="0" applyAlignment="0" applyProtection="0"/>
    <xf numFmtId="0" fontId="14" fillId="4" borderId="5" applyNumberFormat="0" applyAlignment="0" applyProtection="0"/>
    <xf numFmtId="0" fontId="15" fillId="5" borderId="7" applyNumberFormat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8" fillId="6" borderId="0" applyNumberFormat="0" applyBorder="0" applyAlignment="0" applyProtection="0"/>
    <xf numFmtId="0" fontId="19" fillId="7" borderId="0" applyNumberFormat="0" applyBorder="0" applyAlignment="0" applyProtection="0"/>
    <xf numFmtId="0" fontId="20" fillId="8" borderId="0" applyNumberFormat="0" applyBorder="0" applyAlignment="0" applyProtection="0"/>
    <xf numFmtId="0" fontId="21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1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1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1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1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1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subtropical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'rafustat-13'!$B$1</c:f>
              <c:strCache>
                <c:ptCount val="1"/>
                <c:pt idx="0">
                  <c:v>Grid 13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'rafustat-13'!$A$2:$A$11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'rafustat-13'!$B$2:$B$11</c:f>
              <c:numCache>
                <c:formatCode>General</c:formatCode>
                <c:ptCount val="10"/>
                <c:pt idx="0">
                  <c:v>49.9</c:v>
                </c:pt>
                <c:pt idx="1">
                  <c:v>48.6</c:v>
                </c:pt>
                <c:pt idx="2">
                  <c:v>47.6</c:v>
                </c:pt>
                <c:pt idx="3">
                  <c:v>17.4</c:v>
                </c:pt>
                <c:pt idx="4">
                  <c:v>31.5</c:v>
                </c:pt>
                <c:pt idx="5">
                  <c:v>45.7</c:v>
                </c:pt>
                <c:pt idx="6">
                  <c:v>48.3</c:v>
                </c:pt>
                <c:pt idx="7">
                  <c:v>53.2</c:v>
                </c:pt>
                <c:pt idx="8">
                  <c:v>66.1</c:v>
                </c:pt>
                <c:pt idx="9">
                  <c:v>99.4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'rafustat-13'!$C$1</c:f>
              <c:strCache>
                <c:ptCount val="1"/>
                <c:pt idx="0">
                  <c:v>Grid 14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'rafustat-13'!$A$2:$A$11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'rafustat-13'!$C$2:$C$11</c:f>
              <c:numCache>
                <c:formatCode>General</c:formatCode>
                <c:ptCount val="10"/>
                <c:pt idx="0">
                  <c:v>92.5</c:v>
                </c:pt>
                <c:pt idx="1">
                  <c:v>65.8</c:v>
                </c:pt>
                <c:pt idx="2">
                  <c:v>61.7</c:v>
                </c:pt>
                <c:pt idx="3">
                  <c:v>58.5</c:v>
                </c:pt>
                <c:pt idx="4">
                  <c:v>23.6</c:v>
                </c:pt>
                <c:pt idx="5">
                  <c:v>24.3</c:v>
                </c:pt>
                <c:pt idx="6">
                  <c:v>37.9</c:v>
                </c:pt>
                <c:pt idx="7">
                  <c:v>46.7</c:v>
                </c:pt>
                <c:pt idx="8">
                  <c:v>55.5</c:v>
                </c:pt>
                <c:pt idx="9">
                  <c:v>75.3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117087"/>
        <c:axId val="1062149903"/>
      </c:scatterChart>
      <c:valAx>
        <c:axId val="1268117087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62149903"/>
        <c:crosses val="autoZero"/>
        <c:crossBetween val="midCat"/>
      </c:valAx>
      <c:valAx>
        <c:axId val="1062149903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8117087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ef0545-4458-4370-9201-0a019945ba55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North subtropical average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6920384951881"/>
          <c:y val="0.171712962962963"/>
          <c:w val="0.877641294838145"/>
          <c:h val="0.721258019830854"/>
        </c:manualLayout>
      </c:layout>
      <c:scatterChart>
        <c:scatterStyle val="lineMarker"/>
        <c:varyColors val="0"/>
        <c:ser>
          <c:idx val="0"/>
          <c:order val="0"/>
          <c:tx>
            <c:strRef>
              <c:f>'rafustat-13'!$D$1</c:f>
              <c:strCache>
                <c:ptCount val="1"/>
                <c:pt idx="0">
                  <c:v>Average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'rafustat-13'!$A$2:$A$11</c:f>
              <c:numCache>
                <c:formatCode>General</c:formatCode>
                <c:ptCount val="10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</c:numCache>
            </c:numRef>
          </c:xVal>
          <c:yVal>
            <c:numRef>
              <c:f>'rafustat-13'!$D$2:$D$11</c:f>
              <c:numCache>
                <c:formatCode>General</c:formatCode>
                <c:ptCount val="10"/>
                <c:pt idx="0">
                  <c:v>71.2</c:v>
                </c:pt>
                <c:pt idx="1">
                  <c:v>57.2</c:v>
                </c:pt>
                <c:pt idx="2">
                  <c:v>54.65</c:v>
                </c:pt>
                <c:pt idx="3">
                  <c:v>37.95</c:v>
                </c:pt>
                <c:pt idx="4">
                  <c:v>27.55</c:v>
                </c:pt>
                <c:pt idx="5">
                  <c:v>35</c:v>
                </c:pt>
                <c:pt idx="6">
                  <c:v>43.1</c:v>
                </c:pt>
                <c:pt idx="7">
                  <c:v>49.95</c:v>
                </c:pt>
                <c:pt idx="8">
                  <c:v>60.8</c:v>
                </c:pt>
                <c:pt idx="9">
                  <c:v>87.35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8110591"/>
        <c:axId val="1087268175"/>
      </c:scatterChart>
      <c:valAx>
        <c:axId val="1268110591"/>
        <c:scaling>
          <c:orientation val="minMax"/>
          <c:max val="2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87268175"/>
        <c:crosses val="autoZero"/>
        <c:crossBetween val="midCat"/>
      </c:valAx>
      <c:valAx>
        <c:axId val="1087268175"/>
        <c:scaling>
          <c:orientation val="minMax"/>
          <c:max val="16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8110591"/>
        <c:crosses val="autoZero"/>
        <c:crossBetween val="midCat"/>
        <c:majorUnit val="4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bfea3f7-3e83-4d68-b759-027e6897c12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534035</xdr:colOff>
      <xdr:row>18</xdr:row>
      <xdr:rowOff>149860</xdr:rowOff>
    </xdr:from>
    <xdr:to>
      <xdr:col>7</xdr:col>
      <xdr:colOff>502285</xdr:colOff>
      <xdr:row>33</xdr:row>
      <xdr:rowOff>130810</xdr:rowOff>
    </xdr:to>
    <xdr:graphicFrame>
      <xdr:nvGraphicFramePr>
        <xdr:cNvPr id="3" name="Chart 2"/>
        <xdr:cNvGraphicFramePr/>
      </xdr:nvGraphicFramePr>
      <xdr:xfrm>
        <a:off x="534035" y="7462520"/>
        <a:ext cx="498919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203835</xdr:colOff>
      <xdr:row>18</xdr:row>
      <xdr:rowOff>124460</xdr:rowOff>
    </xdr:from>
    <xdr:to>
      <xdr:col>15</xdr:col>
      <xdr:colOff>508635</xdr:colOff>
      <xdr:row>33</xdr:row>
      <xdr:rowOff>105410</xdr:rowOff>
    </xdr:to>
    <xdr:graphicFrame>
      <xdr:nvGraphicFramePr>
        <xdr:cNvPr id="5" name="Chart 4"/>
        <xdr:cNvGraphicFramePr/>
      </xdr:nvGraphicFramePr>
      <xdr:xfrm>
        <a:off x="5889625" y="7437120"/>
        <a:ext cx="4958715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G4" sqref="G4"/>
    </sheetView>
  </sheetViews>
  <sheetFormatPr defaultColWidth="9" defaultRowHeight="14.1"/>
  <cols>
    <col min="1" max="1" width="8.725" style="1"/>
    <col min="2" max="2" width="13.5416666666667" style="1" customWidth="1"/>
    <col min="3" max="16384" width="8.725" style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6.3" spans="1:14">
      <c r="A2" s="1">
        <v>2</v>
      </c>
      <c r="B2" s="1">
        <v>49.9</v>
      </c>
      <c r="C2" s="1">
        <v>92.5</v>
      </c>
      <c r="D2" s="1">
        <f>AVERAGE(B2:C2)</f>
        <v>71.2</v>
      </c>
      <c r="E2" s="2" t="s">
        <v>5</v>
      </c>
    </row>
    <row r="3" ht="46.3" spans="1:14">
      <c r="A3" s="1">
        <v>4</v>
      </c>
      <c r="B3" s="1">
        <v>48.6</v>
      </c>
      <c r="C3" s="1">
        <v>65.8</v>
      </c>
      <c r="D3" s="1">
        <f t="shared" ref="D3:D11" si="0">AVERAGE(B3:C3)</f>
        <v>57.2</v>
      </c>
      <c r="E3" s="2" t="s">
        <v>5</v>
      </c>
    </row>
    <row r="4" ht="46.3" spans="1:14">
      <c r="A4" s="1">
        <v>6</v>
      </c>
      <c r="B4" s="1">
        <v>47.6</v>
      </c>
      <c r="C4" s="1">
        <v>61.7</v>
      </c>
      <c r="D4" s="1">
        <f t="shared" si="0"/>
        <v>54.65</v>
      </c>
      <c r="E4" s="2" t="s">
        <v>5</v>
      </c>
    </row>
    <row r="5" ht="46.3" spans="1:14">
      <c r="A5" s="1">
        <v>8</v>
      </c>
      <c r="B5" s="1">
        <v>17.4</v>
      </c>
      <c r="C5" s="1">
        <v>58.5</v>
      </c>
      <c r="D5" s="1">
        <f t="shared" si="0"/>
        <v>37.95</v>
      </c>
      <c r="E5" s="2" t="s">
        <v>5</v>
      </c>
    </row>
    <row r="6" ht="46.3" spans="1:14">
      <c r="A6" s="1">
        <v>10</v>
      </c>
      <c r="B6" s="1">
        <v>31.5</v>
      </c>
      <c r="C6" s="1">
        <v>23.6</v>
      </c>
      <c r="D6" s="1">
        <f t="shared" si="0"/>
        <v>27.55</v>
      </c>
      <c r="E6" s="2" t="s">
        <v>5</v>
      </c>
      <c r="N6" s="3"/>
    </row>
    <row r="7" ht="46.3" spans="1:14">
      <c r="A7" s="1">
        <v>12</v>
      </c>
      <c r="B7" s="1">
        <v>45.7</v>
      </c>
      <c r="C7" s="1">
        <v>24.3</v>
      </c>
      <c r="D7" s="1">
        <f t="shared" si="0"/>
        <v>35</v>
      </c>
      <c r="E7" s="2" t="s">
        <v>5</v>
      </c>
    </row>
    <row r="8" ht="46.3" spans="1:14">
      <c r="A8" s="1">
        <v>14</v>
      </c>
      <c r="B8" s="1">
        <v>48.3</v>
      </c>
      <c r="C8" s="1">
        <v>37.9</v>
      </c>
      <c r="D8" s="1">
        <f t="shared" si="0"/>
        <v>43.1</v>
      </c>
      <c r="E8" s="2" t="s">
        <v>5</v>
      </c>
    </row>
    <row r="9" ht="46.3" spans="1:14">
      <c r="A9" s="1">
        <v>16</v>
      </c>
      <c r="B9" s="1">
        <v>53.2</v>
      </c>
      <c r="C9" s="1">
        <v>46.7</v>
      </c>
      <c r="D9" s="1">
        <f t="shared" si="0"/>
        <v>49.95</v>
      </c>
      <c r="E9" s="2" t="s">
        <v>5</v>
      </c>
    </row>
    <row r="10" ht="46.3" spans="1:14">
      <c r="A10" s="1">
        <v>18</v>
      </c>
      <c r="B10" s="1">
        <v>66.1</v>
      </c>
      <c r="C10" s="1">
        <v>55.5</v>
      </c>
      <c r="D10" s="1">
        <f t="shared" si="0"/>
        <v>60.8</v>
      </c>
      <c r="E10" s="2" t="s">
        <v>5</v>
      </c>
    </row>
    <row r="11" ht="46.3" spans="1:14">
      <c r="A11" s="1">
        <v>20</v>
      </c>
      <c r="B11" s="1">
        <v>99.4</v>
      </c>
      <c r="C11" s="1">
        <v>75.3</v>
      </c>
      <c r="D11" s="1">
        <f t="shared" si="0"/>
        <v>87.35</v>
      </c>
      <c r="E11" s="2" t="s">
        <v>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rafustat-13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RobinGO</cp:lastModifiedBy>
  <dcterms:created xsi:type="dcterms:W3CDTF">2026-08-18T09:21:00Z</dcterms:created>
  <dcterms:modified xsi:type="dcterms:W3CDTF">2026-08-23T12:20:47Z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FB5CDF3FC5AA41AFB9FA7831B66BC017_12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