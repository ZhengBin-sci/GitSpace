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python.jinyan\R.jinbin\"/>
    </mc:Choice>
  </mc:AlternateContent>
  <bookViews>
    <workbookView windowWidth="21942" windowHeight="9805"/>
  </bookViews>
  <sheets>
    <sheet name="rafustat-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<sst xmlns="http://schemas.openxmlformats.org/spreadsheetml/2006/main" count="18" uniqueCount="9">
  <si>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Tupp</t>
  </si>
  <si>
    <t>Grid 8</t>
  </si>
  <si>
    <t>Grid 9</t>
  </si>
  <si>
    <t>Grid 10</t>
  </si>
  <si>
    <t>Grid 11</t>
  </si>
  <si>
    <t>Grid 12</t>
  </si>
  <si>
    <t>Average</t>
  </si>
  <si>
    <t>Zone</t>
  </si>
  <si>
    <t>South temperate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</si>
</sst>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1">
    <font>
      <sz val="11"/>
      <color theme="1"/>
      <name val="等线"/>
      <charset val="134"/>
      <scheme val="minor"/>
    </font>
    <font>
      <sz val="12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</a:t>
            </a:r>
            <a:r>
              <a:rPr lang="en-US" baseline="0"/>
              <a:t> temperate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'rafustat-8'!$B$1</c:f>
              <c:strCache>
                <c:ptCount val="1"/>
                <c:pt idx="0">
                  <c:v>Grid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'rafustat-8'!$A$2:$A$11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'rafustat-8'!$B$2:$B$11</c:f>
              <c:numCache>
                <c:formatCode>General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3.4</c:v>
                </c:pt>
                <c:pt idx="3">
                  <c:v>3.4</c:v>
                </c:pt>
                <c:pt idx="4">
                  <c:v>5.8</c:v>
                </c:pt>
                <c:pt idx="5">
                  <c:v>17.1</c:v>
                </c:pt>
                <c:pt idx="6">
                  <c:v>27.1</c:v>
                </c:pt>
                <c:pt idx="7">
                  <c:v>39.2</c:v>
                </c:pt>
                <c:pt idx="8">
                  <c:v>54.6</c:v>
                </c:pt>
                <c:pt idx="9">
                  <c:v>80.5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'rafustat-8'!$C$1</c:f>
              <c:strCache>
                <c:ptCount val="1"/>
                <c:pt idx="0">
                  <c:v>Grid 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'rafustat-8'!$A$2:$A$11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'rafustat-8'!$C$2:$C$11</c:f>
              <c:numCache>
                <c:formatCode>General</c:formatCode>
                <c:ptCount val="10"/>
                <c:pt idx="0">
                  <c:v>6.3</c:v>
                </c:pt>
                <c:pt idx="1">
                  <c:v>6.3</c:v>
                </c:pt>
                <c:pt idx="2">
                  <c:v>6.3</c:v>
                </c:pt>
                <c:pt idx="3">
                  <c:v>6.3</c:v>
                </c:pt>
                <c:pt idx="4">
                  <c:v>6.3</c:v>
                </c:pt>
                <c:pt idx="5">
                  <c:v>13.8</c:v>
                </c:pt>
                <c:pt idx="6">
                  <c:v>35.1</c:v>
                </c:pt>
                <c:pt idx="7">
                  <c:v>42.6</c:v>
                </c:pt>
                <c:pt idx="8">
                  <c:v>45.3</c:v>
                </c:pt>
                <c:pt idx="9">
                  <c:v>53.9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'rafustat-8'!$D$1</c:f>
              <c:strCache>
                <c:ptCount val="1"/>
                <c:pt idx="0">
                  <c:v>Grid 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'rafustat-8'!$A$2:$A$11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'rafustat-8'!$D$2:$D$11</c:f>
              <c:numCache>
                <c:formatCode>General</c:formatCode>
                <c:ptCount val="10"/>
                <c:pt idx="0">
                  <c:v>0.9</c:v>
                </c:pt>
                <c:pt idx="1">
                  <c:v>1.7</c:v>
                </c:pt>
                <c:pt idx="2">
                  <c:v>10.9</c:v>
                </c:pt>
                <c:pt idx="3">
                  <c:v>10.9</c:v>
                </c:pt>
                <c:pt idx="4">
                  <c:v>15.1</c:v>
                </c:pt>
                <c:pt idx="5">
                  <c:v>19.2</c:v>
                </c:pt>
                <c:pt idx="6">
                  <c:v>39.9</c:v>
                </c:pt>
                <c:pt idx="7">
                  <c:v>67.3</c:v>
                </c:pt>
                <c:pt idx="8">
                  <c:v>91.9</c:v>
                </c:pt>
                <c:pt idx="9">
                  <c:v>100.5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'rafustat-8'!$E$1</c:f>
              <c:strCache>
                <c:ptCount val="1"/>
                <c:pt idx="0">
                  <c:v>Grid 11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'rafustat-8'!$A$2:$A$11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'rafustat-8'!$E$2:$E$11</c:f>
              <c:numCache>
                <c:formatCode>General</c:formatCode>
                <c:ptCount val="10"/>
                <c:pt idx="0">
                  <c:v>19.4</c:v>
                </c:pt>
                <c:pt idx="1">
                  <c:v>5.7</c:v>
                </c:pt>
                <c:pt idx="2">
                  <c:v>5.9</c:v>
                </c:pt>
                <c:pt idx="3">
                  <c:v>18.2</c:v>
                </c:pt>
                <c:pt idx="4">
                  <c:v>19.4</c:v>
                </c:pt>
                <c:pt idx="5">
                  <c:v>26</c:v>
                </c:pt>
                <c:pt idx="6">
                  <c:v>36.8</c:v>
                </c:pt>
                <c:pt idx="7">
                  <c:v>56</c:v>
                </c:pt>
                <c:pt idx="8">
                  <c:v>92.1</c:v>
                </c:pt>
                <c:pt idx="9">
                  <c:v>132.7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'rafustat-8'!$F$1</c:f>
              <c:strCache>
                <c:ptCount val="1"/>
                <c:pt idx="0">
                  <c:v>Grid 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'rafustat-8'!$A$2:$A$11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'rafustat-8'!$F$2:$F$11</c:f>
              <c:numCache>
                <c:formatCode>General</c:formatCode>
                <c:ptCount val="10"/>
                <c:pt idx="0">
                  <c:v>32.3</c:v>
                </c:pt>
                <c:pt idx="1">
                  <c:v>32.2</c:v>
                </c:pt>
                <c:pt idx="2">
                  <c:v>20.2</c:v>
                </c:pt>
                <c:pt idx="3">
                  <c:v>30</c:v>
                </c:pt>
                <c:pt idx="4">
                  <c:v>32.3</c:v>
                </c:pt>
                <c:pt idx="5">
                  <c:v>32.3</c:v>
                </c:pt>
                <c:pt idx="6">
                  <c:v>33.7</c:v>
                </c:pt>
                <c:pt idx="7">
                  <c:v>48.2</c:v>
                </c:pt>
                <c:pt idx="8">
                  <c:v>76.3</c:v>
                </c:pt>
                <c:pt idx="9">
                  <c:v>110.3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987375"/>
        <c:axId val="1087257135"/>
      </c:scatterChart>
      <c:valAx>
        <c:axId val="1731987375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7257135"/>
        <c:crosses val="autoZero"/>
        <c:crossBetween val="midCat"/>
      </c:valAx>
      <c:valAx>
        <c:axId val="1087257135"/>
        <c:scaling>
          <c:orientation val="minMax"/>
          <c:max val="16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1987375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375319-dc6c-489f-86fc-e51feda95be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temperate</a:t>
            </a:r>
            <a:r>
              <a:rPr lang="en-US" baseline="0"/>
              <a:t> a</a:t>
            </a:r>
            <a:r>
              <a:rPr lang="en-US"/>
              <a:t>verage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'rafustat-8'!$G$1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'rafustat-8'!$A$2:$A$11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'rafustat-8'!$G$2:$G$11</c:f>
              <c:numCache>
                <c:formatCode>0.0</c:formatCode>
                <c:ptCount val="10"/>
                <c:pt idx="0">
                  <c:v>11.82</c:v>
                </c:pt>
                <c:pt idx="1">
                  <c:v>9.22</c:v>
                </c:pt>
                <c:pt idx="2">
                  <c:v>9.34</c:v>
                </c:pt>
                <c:pt idx="3">
                  <c:v>13.76</c:v>
                </c:pt>
                <c:pt idx="4">
                  <c:v>15.78</c:v>
                </c:pt>
                <c:pt idx="5">
                  <c:v>21.68</c:v>
                </c:pt>
                <c:pt idx="6">
                  <c:v>34.52</c:v>
                </c:pt>
                <c:pt idx="7">
                  <c:v>50.66</c:v>
                </c:pt>
                <c:pt idx="8">
                  <c:v>72.04</c:v>
                </c:pt>
                <c:pt idx="9">
                  <c:v>95.58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907487"/>
        <c:axId val="1087211055"/>
      </c:scatterChart>
      <c:valAx>
        <c:axId val="1271907487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7211055"/>
        <c:crosses val="autoZero"/>
        <c:crossBetween val="midCat"/>
      </c:valAx>
      <c:valAx>
        <c:axId val="1087211055"/>
        <c:scaling>
          <c:orientation val="minMax"/>
          <c:max val="160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1907487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ce2ab1-eae9-4f8a-b71a-c9ca31941871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384175</xdr:colOff>
      <xdr:row>12</xdr:row>
      <xdr:rowOff>31750</xdr:rowOff>
    </xdr:from>
    <xdr:to>
      <xdr:col>7</xdr:col>
      <xdr:colOff>206375</xdr:colOff>
      <xdr:row>27</xdr:row>
      <xdr:rowOff>12700</xdr:rowOff>
    </xdr:to>
    <xdr:graphicFrame>
      <xdr:nvGraphicFramePr>
        <xdr:cNvPr id="3" name="Chart 2"/>
        <xdr:cNvGraphicFramePr/>
      </xdr:nvGraphicFramePr>
      <xdr:xfrm>
        <a:off x="384175" y="4307840"/>
        <a:ext cx="500253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12</xdr:row>
      <xdr:rowOff>19050</xdr:rowOff>
    </xdr:from>
    <xdr:to>
      <xdr:col>15</xdr:col>
      <xdr:colOff>276225</xdr:colOff>
      <xdr:row>27</xdr:row>
      <xdr:rowOff>0</xdr:rowOff>
    </xdr:to>
    <xdr:graphicFrame>
      <xdr:nvGraphicFramePr>
        <xdr:cNvPr id="4" name="Chart 3"/>
        <xdr:cNvGraphicFramePr/>
      </xdr:nvGraphicFramePr>
      <xdr:xfrm>
        <a:off x="5761355" y="4295140"/>
        <a:ext cx="501396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J4" sqref="J4"/>
    </sheetView>
  </sheetViews>
  <sheetFormatPr defaultColWidth="9" defaultRowHeight="14.1" outlineLevelCol="7"/>
  <cols>
    <col min="1" max="1" width="8.725" style="1"/>
    <col min="2" max="2" width="14.0916666666667" style="1" customWidth="1"/>
    <col min="3" max="3" width="8.725" style="1"/>
    <col min="4" max="4" width="10.2666666666667" style="1" customWidth="1"/>
    <col min="5" max="16384" width="8.7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.85" spans="1:8">
      <c r="A2" s="1">
        <v>2</v>
      </c>
      <c r="B2" s="1">
        <v>0.2</v>
      </c>
      <c r="C2" s="1">
        <v>6.3</v>
      </c>
      <c r="D2" s="1">
        <v>0.9</v>
      </c>
      <c r="E2" s="1">
        <v>19.4</v>
      </c>
      <c r="F2" s="1">
        <v>32.3</v>
      </c>
      <c r="G2" s="2">
        <f>AVERAGE(B2:F2)</f>
        <v>11.82</v>
      </c>
      <c r="H2" s="3" t="s">
        <v>8</v>
      </c>
    </row>
    <row r="3" ht="30.85" spans="1:8">
      <c r="A3" s="1">
        <v>4</v>
      </c>
      <c r="B3" s="1">
        <v>0.2</v>
      </c>
      <c r="C3" s="1">
        <v>6.3</v>
      </c>
      <c r="D3" s="1">
        <v>1.7</v>
      </c>
      <c r="E3" s="1">
        <v>5.7</v>
      </c>
      <c r="F3" s="1">
        <v>32.2</v>
      </c>
      <c r="G3" s="2">
        <f t="shared" ref="G3:G11" si="0">AVERAGE(B3:F3)</f>
        <v>9.22</v>
      </c>
      <c r="H3" s="3" t="s">
        <v>8</v>
      </c>
    </row>
    <row r="4" ht="30.85" spans="1:8">
      <c r="A4" s="1">
        <v>6</v>
      </c>
      <c r="B4" s="1">
        <v>3.4</v>
      </c>
      <c r="C4" s="1">
        <v>6.3</v>
      </c>
      <c r="D4" s="1">
        <v>10.9</v>
      </c>
      <c r="E4" s="1">
        <v>5.9</v>
      </c>
      <c r="F4" s="1">
        <v>20.2</v>
      </c>
      <c r="G4" s="2">
        <f t="shared" si="0"/>
        <v>9.34</v>
      </c>
      <c r="H4" s="3" t="s">
        <v>8</v>
      </c>
    </row>
    <row r="5" ht="30.85" spans="1:8">
      <c r="A5" s="1">
        <v>8</v>
      </c>
      <c r="B5" s="1">
        <v>3.4</v>
      </c>
      <c r="C5" s="1">
        <v>6.3</v>
      </c>
      <c r="D5" s="1">
        <v>10.9</v>
      </c>
      <c r="E5" s="1">
        <v>18.2</v>
      </c>
      <c r="F5" s="1">
        <v>30</v>
      </c>
      <c r="G5" s="2">
        <f t="shared" si="0"/>
        <v>13.76</v>
      </c>
      <c r="H5" s="3" t="s">
        <v>8</v>
      </c>
    </row>
    <row r="6" ht="30.85" spans="1:8">
      <c r="A6" s="1">
        <v>10</v>
      </c>
      <c r="B6" s="1">
        <v>5.8</v>
      </c>
      <c r="C6" s="1">
        <v>6.3</v>
      </c>
      <c r="D6" s="1">
        <v>15.1</v>
      </c>
      <c r="E6" s="1">
        <v>19.4</v>
      </c>
      <c r="F6" s="1">
        <v>32.3</v>
      </c>
      <c r="G6" s="2">
        <f t="shared" si="0"/>
        <v>15.78</v>
      </c>
      <c r="H6" s="3" t="s">
        <v>8</v>
      </c>
    </row>
    <row r="7" ht="30.85" spans="1:8">
      <c r="A7" s="1">
        <v>12</v>
      </c>
      <c r="B7" s="1">
        <v>17.1</v>
      </c>
      <c r="C7" s="1">
        <v>13.8</v>
      </c>
      <c r="D7" s="1">
        <v>19.2</v>
      </c>
      <c r="E7" s="1">
        <v>26</v>
      </c>
      <c r="F7" s="1">
        <v>32.3</v>
      </c>
      <c r="G7" s="2">
        <f t="shared" si="0"/>
        <v>21.68</v>
      </c>
      <c r="H7" s="3" t="s">
        <v>8</v>
      </c>
    </row>
    <row r="8" ht="30.85" spans="1:8">
      <c r="A8" s="1">
        <v>14</v>
      </c>
      <c r="B8" s="1">
        <v>27.1</v>
      </c>
      <c r="C8" s="1">
        <v>35.1</v>
      </c>
      <c r="D8" s="1">
        <v>39.9</v>
      </c>
      <c r="E8" s="1">
        <v>36.8</v>
      </c>
      <c r="F8" s="1">
        <v>33.7</v>
      </c>
      <c r="G8" s="2">
        <f t="shared" si="0"/>
        <v>34.52</v>
      </c>
      <c r="H8" s="3" t="s">
        <v>8</v>
      </c>
    </row>
    <row r="9" ht="30.85" spans="1:8">
      <c r="A9" s="1">
        <v>16</v>
      </c>
      <c r="B9" s="1">
        <v>39.2</v>
      </c>
      <c r="C9" s="1">
        <v>42.6</v>
      </c>
      <c r="D9" s="1">
        <v>67.3</v>
      </c>
      <c r="E9" s="1">
        <v>56</v>
      </c>
      <c r="F9" s="1">
        <v>48.2</v>
      </c>
      <c r="G9" s="2">
        <f t="shared" si="0"/>
        <v>50.66</v>
      </c>
      <c r="H9" s="3" t="s">
        <v>8</v>
      </c>
    </row>
    <row r="10" ht="30.85" spans="1:8">
      <c r="A10" s="1">
        <v>18</v>
      </c>
      <c r="B10" s="1">
        <v>54.6</v>
      </c>
      <c r="C10" s="1">
        <v>45.3</v>
      </c>
      <c r="D10" s="1">
        <v>91.9</v>
      </c>
      <c r="E10" s="1">
        <v>92.1</v>
      </c>
      <c r="F10" s="1">
        <v>76.3</v>
      </c>
      <c r="G10" s="2">
        <f t="shared" si="0"/>
        <v>72.04</v>
      </c>
      <c r="H10" s="3" t="s">
        <v>8</v>
      </c>
    </row>
    <row r="11" ht="30.85" spans="1:8">
      <c r="A11" s="1">
        <v>20</v>
      </c>
      <c r="B11" s="1">
        <v>80.5</v>
      </c>
      <c r="C11" s="1">
        <v>53.9</v>
      </c>
      <c r="D11" s="1">
        <v>100.5</v>
      </c>
      <c r="E11" s="1">
        <v>132.7</v>
      </c>
      <c r="F11" s="1">
        <v>110.3</v>
      </c>
      <c r="G11" s="2">
        <f t="shared" si="0"/>
        <v>95.58</v>
      </c>
      <c r="H11" s="3" t="s">
        <v>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rafustat-8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RobinGO</cp:lastModifiedBy>
  <dcterms:created xsi:type="dcterms:W3CDTF">2026-08-18T09:12:00Z</dcterms:created>
  <dcterms:modified xsi:type="dcterms:W3CDTF">2026-08-23T12:20:23Z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10E4408A7E7E4C4B80756732C14DED68_12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