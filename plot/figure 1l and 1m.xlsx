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python.jinyan\R.jinbin\"/>
    </mc:Choice>
  </mc:AlternateContent>
  <bookViews>
    <workbookView windowWidth="21942" windowHeight="9805"/>
  </bookViews>
  <sheets>
    <sheet name="rafustat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<sst xmlns="http://schemas.openxmlformats.org/spreadsheetml/2006/main" count="17" uniqueCount="8">
  <si>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Tupp</t>
  </si>
  <si>
    <t>Grid 15</t>
  </si>
  <si>
    <t>Grid 16</t>
  </si>
  <si>
    <t>Grid 17</t>
  </si>
  <si>
    <t>Grid 18</t>
  </si>
  <si>
    <t>Average</t>
  </si>
  <si>
    <t>Zone</t>
  </si>
  <si>
    <t>Mid-subtropical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</si>
</sst>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1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Mid-subtropical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'rafustat-15'!$B$1</c:f>
              <c:strCache>
                <c:ptCount val="1"/>
                <c:pt idx="0">
                  <c:v>Grid 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'rafustat-15'!$A$2:$A$11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'rafustat-15'!$B$2:$B$11</c:f>
              <c:numCache>
                <c:formatCode>General</c:formatCode>
                <c:ptCount val="10"/>
                <c:pt idx="0">
                  <c:v>188.4</c:v>
                </c:pt>
                <c:pt idx="1">
                  <c:v>128.3</c:v>
                </c:pt>
                <c:pt idx="2">
                  <c:v>117.9</c:v>
                </c:pt>
                <c:pt idx="3">
                  <c:v>66.6</c:v>
                </c:pt>
                <c:pt idx="4">
                  <c:v>61.3</c:v>
                </c:pt>
                <c:pt idx="5">
                  <c:v>51.9</c:v>
                </c:pt>
                <c:pt idx="6">
                  <c:v>32.3</c:v>
                </c:pt>
                <c:pt idx="7">
                  <c:v>37.7</c:v>
                </c:pt>
                <c:pt idx="8">
                  <c:v>57.5</c:v>
                </c:pt>
                <c:pt idx="9">
                  <c:v>72.1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'rafustat-15'!$C$1</c:f>
              <c:strCache>
                <c:ptCount val="1"/>
                <c:pt idx="0">
                  <c:v>Grid 16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'rafustat-15'!$A$2:$A$11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'rafustat-15'!$C$2:$C$11</c:f>
              <c:numCache>
                <c:formatCode>General</c:formatCode>
                <c:ptCount val="10"/>
                <c:pt idx="0">
                  <c:v>184.4</c:v>
                </c:pt>
                <c:pt idx="1">
                  <c:v>174.6</c:v>
                </c:pt>
                <c:pt idx="2">
                  <c:v>133.9</c:v>
                </c:pt>
                <c:pt idx="3">
                  <c:v>86.1</c:v>
                </c:pt>
                <c:pt idx="4">
                  <c:v>83.4</c:v>
                </c:pt>
                <c:pt idx="5">
                  <c:v>75.1</c:v>
                </c:pt>
                <c:pt idx="6">
                  <c:v>67.2</c:v>
                </c:pt>
                <c:pt idx="7">
                  <c:v>75.1</c:v>
                </c:pt>
                <c:pt idx="8">
                  <c:v>76.7</c:v>
                </c:pt>
                <c:pt idx="9">
                  <c:v>92.4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'rafustat-15'!$D$1</c:f>
              <c:strCache>
                <c:ptCount val="1"/>
                <c:pt idx="0">
                  <c:v>Grid 17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'rafustat-15'!$A$2:$A$11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'rafustat-15'!$D$2:$D$11</c:f>
              <c:numCache>
                <c:formatCode>General</c:formatCode>
                <c:ptCount val="10"/>
                <c:pt idx="0">
                  <c:v>375.8</c:v>
                </c:pt>
                <c:pt idx="1">
                  <c:v>278</c:v>
                </c:pt>
                <c:pt idx="2">
                  <c:v>241.9</c:v>
                </c:pt>
                <c:pt idx="3">
                  <c:v>197.9</c:v>
                </c:pt>
                <c:pt idx="4">
                  <c:v>132.3</c:v>
                </c:pt>
                <c:pt idx="5">
                  <c:v>132.3</c:v>
                </c:pt>
                <c:pt idx="6">
                  <c:v>122.4</c:v>
                </c:pt>
                <c:pt idx="7">
                  <c:v>117.2</c:v>
                </c:pt>
                <c:pt idx="8">
                  <c:v>113.2</c:v>
                </c:pt>
                <c:pt idx="9">
                  <c:v>115.1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'rafustat-15'!$E$1</c:f>
              <c:strCache>
                <c:ptCount val="1"/>
                <c:pt idx="0">
                  <c:v>Grid 18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'rafustat-15'!$A$2:$A$11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'rafustat-15'!$E$2:$E$11</c:f>
              <c:numCache>
                <c:formatCode>General</c:formatCode>
                <c:ptCount val="10"/>
                <c:pt idx="2">
                  <c:v>384.5</c:v>
                </c:pt>
                <c:pt idx="3">
                  <c:v>352.8</c:v>
                </c:pt>
                <c:pt idx="4">
                  <c:v>294.6</c:v>
                </c:pt>
                <c:pt idx="5">
                  <c:v>216.9</c:v>
                </c:pt>
                <c:pt idx="6">
                  <c:v>194.9</c:v>
                </c:pt>
                <c:pt idx="7">
                  <c:v>183.8</c:v>
                </c:pt>
                <c:pt idx="8">
                  <c:v>181.4</c:v>
                </c:pt>
                <c:pt idx="9">
                  <c:v>175.5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004543"/>
        <c:axId val="958126255"/>
      </c:scatterChart>
      <c:valAx>
        <c:axId val="1732004543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126255"/>
        <c:crosses val="autoZero"/>
        <c:crossBetween val="midCat"/>
      </c:valAx>
      <c:valAx>
        <c:axId val="958126255"/>
        <c:scaling>
          <c:orientation val="minMax"/>
          <c:max val="4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2004543"/>
        <c:crosses val="autoZero"/>
        <c:crossBetween val="midCat"/>
        <c:majorUnit val="100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c9d73d-bb55-4d1f-8b57-23a8a3f59889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Mid-subtropical average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'rafustat-15'!$F$1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'rafustat-15'!$A$2:$A$11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'rafustat-15'!$F$2:$F$11</c:f>
              <c:numCache>
                <c:formatCode>0.0</c:formatCode>
                <c:ptCount val="10"/>
                <c:pt idx="0">
                  <c:v>249.533333333333</c:v>
                </c:pt>
                <c:pt idx="1">
                  <c:v>193.633333333333</c:v>
                </c:pt>
                <c:pt idx="2">
                  <c:v>219.55</c:v>
                </c:pt>
                <c:pt idx="3">
                  <c:v>175.85</c:v>
                </c:pt>
                <c:pt idx="4">
                  <c:v>142.9</c:v>
                </c:pt>
                <c:pt idx="5">
                  <c:v>119.05</c:v>
                </c:pt>
                <c:pt idx="6">
                  <c:v>104.2</c:v>
                </c:pt>
                <c:pt idx="7">
                  <c:v>103.45</c:v>
                </c:pt>
                <c:pt idx="8">
                  <c:v>107.2</c:v>
                </c:pt>
                <c:pt idx="9">
                  <c:v>113.775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898207"/>
        <c:axId val="1087223535"/>
      </c:scatterChart>
      <c:valAx>
        <c:axId val="1271898207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7223535"/>
        <c:crosses val="autoZero"/>
        <c:crossBetween val="midCat"/>
      </c:valAx>
      <c:valAx>
        <c:axId val="1087223535"/>
        <c:scaling>
          <c:orientation val="minMax"/>
          <c:max val="400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71898207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9ae276-f3cd-4587-9e17-562f356cb63b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193675</xdr:colOff>
      <xdr:row>13</xdr:row>
      <xdr:rowOff>69850</xdr:rowOff>
    </xdr:from>
    <xdr:to>
      <xdr:col>7</xdr:col>
      <xdr:colOff>377825</xdr:colOff>
      <xdr:row>28</xdr:row>
      <xdr:rowOff>50800</xdr:rowOff>
    </xdr:to>
    <xdr:graphicFrame>
      <xdr:nvGraphicFramePr>
        <xdr:cNvPr id="4" name="Chart 3"/>
        <xdr:cNvGraphicFramePr/>
      </xdr:nvGraphicFramePr>
      <xdr:xfrm>
        <a:off x="193675" y="6487160"/>
        <a:ext cx="496951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13</xdr:row>
      <xdr:rowOff>88900</xdr:rowOff>
    </xdr:from>
    <xdr:to>
      <xdr:col>15</xdr:col>
      <xdr:colOff>314325</xdr:colOff>
      <xdr:row>28</xdr:row>
      <xdr:rowOff>69850</xdr:rowOff>
    </xdr:to>
    <xdr:graphicFrame>
      <xdr:nvGraphicFramePr>
        <xdr:cNvPr id="5" name="Chart 4"/>
        <xdr:cNvGraphicFramePr/>
      </xdr:nvGraphicFramePr>
      <xdr:xfrm>
        <a:off x="5459730" y="6506210"/>
        <a:ext cx="495871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I4" sqref="I4"/>
    </sheetView>
  </sheetViews>
  <sheetFormatPr defaultColWidth="9" defaultRowHeight="14.1" outlineLevelCol="6"/>
  <cols>
    <col min="1" max="1" width="8.725" style="1"/>
    <col min="2" max="2" width="10.45" style="1" customWidth="1"/>
    <col min="3" max="16384" width="8.7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6.3" spans="1:7">
      <c r="A2" s="1">
        <v>2</v>
      </c>
      <c r="B2" s="1">
        <v>188.4</v>
      </c>
      <c r="C2" s="1">
        <v>184.4</v>
      </c>
      <c r="D2" s="1">
        <v>375.8</v>
      </c>
      <c r="F2" s="2">
        <f>AVERAGE(B2:E2)</f>
        <v>249.533333333333</v>
      </c>
      <c r="G2" s="3" t="s">
        <v>7</v>
      </c>
    </row>
    <row r="3" ht="46.3" spans="1:7">
      <c r="A3" s="1">
        <v>4</v>
      </c>
      <c r="B3" s="1">
        <v>128.3</v>
      </c>
      <c r="C3" s="1">
        <v>174.6</v>
      </c>
      <c r="D3" s="1">
        <v>278</v>
      </c>
      <c r="F3" s="2">
        <f t="shared" ref="F3:F11" si="0">AVERAGE(B3:E3)</f>
        <v>193.633333333333</v>
      </c>
      <c r="G3" s="3" t="s">
        <v>7</v>
      </c>
    </row>
    <row r="4" ht="46.3" spans="1:7">
      <c r="A4" s="1">
        <v>6</v>
      </c>
      <c r="B4" s="1">
        <v>117.9</v>
      </c>
      <c r="C4" s="1">
        <v>133.9</v>
      </c>
      <c r="D4" s="1">
        <v>241.9</v>
      </c>
      <c r="E4">
        <v>384.5</v>
      </c>
      <c r="F4" s="2">
        <f t="shared" si="0"/>
        <v>219.55</v>
      </c>
      <c r="G4" s="3" t="s">
        <v>7</v>
      </c>
    </row>
    <row r="5" ht="46.3" spans="1:7">
      <c r="A5" s="1">
        <v>8</v>
      </c>
      <c r="B5" s="1">
        <v>66.6</v>
      </c>
      <c r="C5" s="1">
        <v>86.1</v>
      </c>
      <c r="D5" s="1">
        <v>197.9</v>
      </c>
      <c r="E5">
        <v>352.8</v>
      </c>
      <c r="F5" s="2">
        <f t="shared" si="0"/>
        <v>175.85</v>
      </c>
      <c r="G5" s="3" t="s">
        <v>7</v>
      </c>
    </row>
    <row r="6" ht="46.3" spans="1:7">
      <c r="A6" s="1">
        <v>10</v>
      </c>
      <c r="B6" s="1">
        <v>61.3</v>
      </c>
      <c r="C6" s="1">
        <v>83.4</v>
      </c>
      <c r="D6" s="1">
        <v>132.3</v>
      </c>
      <c r="E6">
        <v>294.6</v>
      </c>
      <c r="F6" s="2">
        <f t="shared" si="0"/>
        <v>142.9</v>
      </c>
      <c r="G6" s="3" t="s">
        <v>7</v>
      </c>
    </row>
    <row r="7" ht="46.3" spans="1:7">
      <c r="A7" s="1">
        <v>12</v>
      </c>
      <c r="B7" s="1">
        <v>51.9</v>
      </c>
      <c r="C7" s="1">
        <v>75.1</v>
      </c>
      <c r="D7" s="1">
        <v>132.3</v>
      </c>
      <c r="E7">
        <v>216.9</v>
      </c>
      <c r="F7" s="2">
        <f t="shared" si="0"/>
        <v>119.05</v>
      </c>
      <c r="G7" s="3" t="s">
        <v>7</v>
      </c>
    </row>
    <row r="8" ht="46.3" spans="1:7">
      <c r="A8" s="1">
        <v>14</v>
      </c>
      <c r="B8" s="1">
        <v>32.3</v>
      </c>
      <c r="C8" s="1">
        <v>67.2</v>
      </c>
      <c r="D8" s="1">
        <v>122.4</v>
      </c>
      <c r="E8">
        <v>194.9</v>
      </c>
      <c r="F8" s="2">
        <f t="shared" si="0"/>
        <v>104.2</v>
      </c>
      <c r="G8" s="3" t="s">
        <v>7</v>
      </c>
    </row>
    <row r="9" ht="46.3" spans="1:7">
      <c r="A9" s="1">
        <v>16</v>
      </c>
      <c r="B9" s="1">
        <v>37.7</v>
      </c>
      <c r="C9" s="1">
        <v>75.1</v>
      </c>
      <c r="D9" s="1">
        <v>117.2</v>
      </c>
      <c r="E9">
        <v>183.8</v>
      </c>
      <c r="F9" s="2">
        <f t="shared" si="0"/>
        <v>103.45</v>
      </c>
      <c r="G9" s="3" t="s">
        <v>7</v>
      </c>
    </row>
    <row r="10" ht="46.3" spans="1:7">
      <c r="A10" s="1">
        <v>18</v>
      </c>
      <c r="B10" s="1">
        <v>57.5</v>
      </c>
      <c r="C10" s="1">
        <v>76.7</v>
      </c>
      <c r="D10" s="1">
        <v>113.2</v>
      </c>
      <c r="E10">
        <v>181.4</v>
      </c>
      <c r="F10" s="2">
        <f t="shared" si="0"/>
        <v>107.2</v>
      </c>
      <c r="G10" s="3" t="s">
        <v>7</v>
      </c>
    </row>
    <row r="11" ht="46.3" spans="1:7">
      <c r="A11" s="1">
        <v>20</v>
      </c>
      <c r="B11" s="1">
        <v>72.1</v>
      </c>
      <c r="C11" s="1">
        <v>92.4</v>
      </c>
      <c r="D11" s="1">
        <v>115.1</v>
      </c>
      <c r="E11">
        <v>175.5</v>
      </c>
      <c r="F11" s="2">
        <f t="shared" si="0"/>
        <v>113.775</v>
      </c>
      <c r="G11" s="3" t="s">
        <v>7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rafustat-15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RobinGO</cp:lastModifiedBy>
  <dcterms:created xsi:type="dcterms:W3CDTF">2026-08-18T09:23:00Z</dcterms:created>
  <dcterms:modified xsi:type="dcterms:W3CDTF">2026-08-23T12:21:08Z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124358642CF74655B39CC5B3CBF01679_12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